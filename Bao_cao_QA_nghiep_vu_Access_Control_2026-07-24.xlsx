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rontf\Documents\Test web quản lý nhân sự\outputs\qa_report_20260724\"/>
    </mc:Choice>
  </mc:AlternateContent>
  <xr:revisionPtr revIDLastSave="0" documentId="13_ncr:1_{FC6A4C84-732E-4B2B-BC2F-B76865C5108B}" xr6:coauthVersionLast="47" xr6:coauthVersionMax="47" xr10:uidLastSave="{00000000-0000-0000-0000-000000000000}"/>
  <bookViews>
    <workbookView xWindow="-120" yWindow="-120" windowWidth="29040" windowHeight="15840" xr2:uid="{00000000-000D-0000-FFFF-FFFF00000000}"/>
  </bookViews>
  <sheets>
    <sheet name="Tổng quan" sheetId="1" r:id="rId1"/>
    <sheet name="Lỗi chi tiết" sheetId="2" r:id="rId2"/>
    <sheet name="Dữ liệu QA" sheetId="3" r:id="rId3"/>
    <sheet name="Phạm vi kiểm thử" sheetId="4" r:id="rId4"/>
    <sheet name="Kiểm thử bảo mật" sheetId="5" r:id="rId5"/>
  </sheets>
  <calcPr calcId="191029"/>
</workbook>
</file>

<file path=xl/calcChain.xml><?xml version="1.0" encoding="utf-8"?>
<calcChain xmlns="http://schemas.openxmlformats.org/spreadsheetml/2006/main">
  <c r="G5" i="1" l="1"/>
  <c r="E5" i="1"/>
  <c r="C5" i="1"/>
  <c r="A5" i="1"/>
</calcChain>
</file>

<file path=xl/sharedStrings.xml><?xml version="1.0" encoding="utf-8"?>
<sst xmlns="http://schemas.openxmlformats.org/spreadsheetml/2006/main" count="399" uniqueCount="271">
  <si>
    <t>BÁO CÁO QA - ACCESS CONTROL</t>
  </si>
  <si>
    <t>Mục tiêu: kiểm thử nghiệp vụ HR, chấm công, phân quyền, thiết bị và bảo mật black-box | Ngày test: 24/07/2026</t>
  </si>
  <si>
    <t>P0 - Nghiêm trọng</t>
  </si>
  <si>
    <t>P1 - Cao</t>
  </si>
  <si>
    <t>P2 - Trung bình</t>
  </si>
  <si>
    <t>P3 - Thấp</t>
  </si>
  <si>
    <t>Kết luận chính</t>
  </si>
  <si>
    <t>Hệ thống có lỗi nghiệp vụ P0 ảnh hưởng trực tiếp đến dữ liệu chấm công/phân ca, đồng thời có lỗ hổng bảo mật P0: tài khoản admin mặc định admin/admin123 đăng nhập thành công và giao diện tự điền thông tin này. Cần khóa hoặc đổi ngay tài khoản này, bật HTTPS và xử lý các lỗi P0 trước khi dùng hệ thống để chốt lương hoặc kết nối thiết bị FaceID trong môi trường vận hành.</t>
  </si>
  <si>
    <t>Phạm vi đã thực hiện</t>
  </si>
  <si>
    <t>Màn hình</t>
  </si>
  <si>
    <t>Kết quả</t>
  </si>
  <si>
    <t>Nhân sự</t>
  </si>
  <si>
    <t>Tạo/sửa OK; validate email OK</t>
  </si>
  <si>
    <t>Ca làm</t>
  </si>
  <si>
    <t>Có lỗi P0</t>
  </si>
  <si>
    <t>Phân quyền</t>
  </si>
  <si>
    <t>Có lỗi P2</t>
  </si>
  <si>
    <t>Báo cáo</t>
  </si>
  <si>
    <t>Có lỗi P0/P2</t>
  </si>
  <si>
    <t>Dashboard</t>
  </si>
  <si>
    <t>Lọc event OK; stream không khớp</t>
  </si>
  <si>
    <t>Thiết bị</t>
  </si>
  <si>
    <t>Ping thiết bị OK</t>
  </si>
  <si>
    <t>Cài đặt</t>
  </si>
  <si>
    <t>Đã rà soát</t>
  </si>
  <si>
    <t>Sơ tán</t>
  </si>
  <si>
    <t>Chỉ đọc - standby</t>
  </si>
  <si>
    <t>Thiết bị thật</t>
  </si>
  <si>
    <t>Không mở cửa/sync</t>
  </si>
  <si>
    <t>FACP</t>
  </si>
  <si>
    <t>Không kích hoạt</t>
  </si>
  <si>
    <t>Excel import</t>
  </si>
  <si>
    <t>Chưa import</t>
  </si>
  <si>
    <t>Xóa dữ liệu</t>
  </si>
  <si>
    <t>Chưa thực hiện</t>
  </si>
  <si>
    <t>Dữ liệu QA</t>
  </si>
  <si>
    <t>Đã tạo và chưa dọn</t>
  </si>
  <si>
    <t>Bảo mật</t>
  </si>
  <si>
    <t>Đã test: lỗi P0/P1</t>
  </si>
  <si>
    <t>Xuất Excel app</t>
  </si>
  <si>
    <t>Chưa xác minh file blob</t>
  </si>
  <si>
    <t>DANH SÁCH LỖI NGHIỆP VỤ XÁC NHẬN</t>
  </si>
  <si>
    <t>Các lỗi được tái hiện trực tiếp trên hệ thống local 192.168.2.148:3003 | Ưu tiên xử lý theo mức độ ảnh hưởng vận hành</t>
  </si>
  <si>
    <t>Mức độ</t>
  </si>
  <si>
    <t>Tình huống tái hiện</t>
  </si>
  <si>
    <t>Kỳ vọng</t>
  </si>
  <si>
    <t>Thực tế</t>
  </si>
  <si>
    <t>Ảnh hưởng nghiệp vụ</t>
  </si>
  <si>
    <t>Khuyến nghị</t>
  </si>
  <si>
    <t>Trạng thái</t>
  </si>
  <si>
    <t>Ghi chú</t>
  </si>
  <si>
    <t>P0</t>
  </si>
  <si>
    <t>Tạo hoặc sửa ca: nhập 22:00-06:00, bật 'Ca qua đêm', lưu.</t>
  </si>
  <si>
    <t>Bản ghi giữ đúng 22:00-06:00 và được đánh dấu qua đêm.</t>
  </si>
  <si>
    <t>QA Night 1050 hiển thị 08:00-17:00 Qua đêm; sửa lại giờ rồi lưu vẫn quay về 08:00-17:00.</t>
  </si>
  <si>
    <t>Ca đêm mới không dùng được; tính công qua ngày có nguy cơ sai.</t>
  </si>
  <si>
    <t>Kiểm tra payload create/update và logic map startTime/endTime khi overnight=true; bổ sung test API + UI cho ca qua đêm.</t>
  </si>
  <si>
    <t>Mở</t>
  </si>
  <si>
    <t>Tái hiện 2 lần: tạo mới và sửa.</t>
  </si>
  <si>
    <t>Chọn QA Day 1050, NV-0002, từ 01/08/2026 đến 31/08/2026 rồi lưu.</t>
  </si>
  <si>
    <t>Phân ca được lưu đúng khoảng ngày đã chọn.</t>
  </si>
  <si>
    <t>UI hiển thị đúng trước khi lưu, nhưng bản ghi thành 24/07/2026 đến trống. Chọn nhân sự cũng reset các ngày đã nhập.</t>
  </si>
  <si>
    <t>Ca có hiệu lực sai thời điểm/không xác định thời điểm kết thúc; có thể sai lương và quyền ra vào.</t>
  </si>
  <si>
    <t>Bắt buộc validate endDate &gt;= startDate ở UI/API/DB; sửa state reset và kiểm thử persistence ngày.</t>
  </si>
  <si>
    <t>Phân ca QA hiện còn dữ liệu sai để đối chiếu.</t>
  </si>
  <si>
    <t>Báo cáo chấm công</t>
  </si>
  <si>
    <t>Ca 08:00-17:00; sự kiện vào 14:26, ra 16:52 ngày 23/07.</t>
  </si>
  <si>
    <t>Về sớm khoảng 8 phút; số giờ và trạng thái phải thống nhất ở mọi báo cáo.</t>
  </si>
  <si>
    <t>Báo 1g26 công, về sớm 7g08; bảng 30 ngày lại ghi Đúng giờ · 1 công.</t>
  </si>
  <si>
    <t>Sai công, sai trạng thái và có thể chốt lương sai.</t>
  </si>
  <si>
    <t>Dùng một hàm nguồn cho work duration, early leave, status và công; tính shiftEnd theo workDate + endTime.</t>
  </si>
  <si>
    <t>Có thể đang trừ break cố định và dùng mốc 00:00 cho early leave.</t>
  </si>
  <si>
    <t>P1</t>
  </si>
  <si>
    <t>Dashboard / Thiết bị</t>
  </si>
  <si>
    <t>Kiểm tra Camera-A trong Thiết bị, sau đó mở Giám sát.</t>
  </si>
  <si>
    <t>Trạng thái camera phải phản ánh được cả kết nối mạng và luồng video.</t>
  </si>
  <si>
    <t>Camera-A ping 10ms và báo LIVE/Đang kết nối, nhưng vùng video hiển thị Mất tín hiệu.</t>
  </si>
  <si>
    <t>Vận hành viên tin trạng thái online trong khi không xem được hình ảnh.</t>
  </si>
  <si>
    <t>Tách trạng thái network, RTSP/go2rtc và playback; hiển thị nguyên nhân lỗi luồng.</t>
  </si>
  <si>
    <t>Akuvox-A kiểm tra kết nối OK: 126ms.</t>
  </si>
  <si>
    <t>P2</t>
  </si>
  <si>
    <t>Thêm Khu vực chính cho NV-0002, chuyển sang tab Tra cứu ngay sau đó.</t>
  </si>
  <si>
    <t>Tra cứu cập nhật ngay và thông tin lịch quyền nhất quán.</t>
  </si>
  <si>
    <t>Tra cứu không có bản ghi cho đến khi tải lại trang; chi tiết nhân sự ghi Cả ngày, tra cứu ghi Ca Hành Chính.</t>
  </si>
  <si>
    <t>Người vận hành khó xác định quyền có hiệu lực theo giờ nào.</t>
  </si>
  <si>
    <t>Invalidate/refetch dữ liệu tra cứu sau mutate; thống nhất hoặc giải thích rõ 'Cả ngày' và lịch khu vực.</t>
  </si>
  <si>
    <t>Dữ liệu hiện sau full reload.</t>
  </si>
  <si>
    <t>Nhập từ ngày lớn hơn đến ngày và bấm Lọc.</t>
  </si>
  <si>
    <t>Hiện validation rõ ràng, giữ lại dữ liệu người dùng nhập.</t>
  </si>
  <si>
    <t>Ngày bị reset về giá trị mặc định, không có thông báo.</t>
  </si>
  <si>
    <t>Người dùng không biết vì sao truy vấn không chạy theo điều kiện đã chọn.</t>
  </si>
  <si>
    <t>Chặn khoảng ngày không hợp lệ ở client và API; hiển thị lỗi tiếng Việt tại trường.</t>
  </si>
  <si>
    <t>Không ghi thay đổi dữ liệu.</t>
  </si>
  <si>
    <t>P3</t>
  </si>
  <si>
    <t>Nhập email qa-invalid-email và lưu nhân sự.</t>
  </si>
  <si>
    <t>Chặn dữ liệu không hợp lệ với thông báo thân thiện.</t>
  </si>
  <si>
    <t>Backend chặn đúng nhưng hiển thị lỗi thô: 'email must be an email'.</t>
  </si>
  <si>
    <t>Trải nghiệm quản trị không nhất quán ngôn ngữ.</t>
  </si>
  <si>
    <t>Map lỗi validation backend sang thông điệp tiếng Việt theo trường dữ liệu.</t>
  </si>
  <si>
    <t>Không tạo bản ghi email sai.</t>
  </si>
  <si>
    <t>Ca làm / Nhân sự</t>
  </si>
  <si>
    <t>Lưu mẫu ca hoặc phòng ban qua giao diện.</t>
  </si>
  <si>
    <t>Có phản hồi hoàn tất nhanh và rõ ràng.</t>
  </si>
  <si>
    <t>Lưu ca mất khoảng 4-5 giây, UI chỉ hiển thị Đang lưu trước khi danh sách cập nhật.</t>
  </si>
  <si>
    <t>Người dùng dễ bấm lại tạo trùng nếu mạng chậm.</t>
  </si>
  <si>
    <t>Thêm timeout, toast hoàn tất/thất bại, idempotency và disable submit cho đến khi phản hồi.</t>
  </si>
  <si>
    <t>Phòng ban QA tạo thành công.</t>
  </si>
  <si>
    <t>DỮ LIỆU KIỂM THỬ ĐÃ TẠO</t>
  </si>
  <si>
    <t>Các bản ghi có tiền tố QA được tạo để tái hiện luồng nghiệp vụ. Chưa xóa để phục vụ đối chiếu lỗi và kiểm thử hồi quy.</t>
  </si>
  <si>
    <t>Loại</t>
  </si>
  <si>
    <t>Mã / định danh</t>
  </si>
  <si>
    <t>Tên / giá trị</t>
  </si>
  <si>
    <t>Ghi nhận</t>
  </si>
  <si>
    <t>Khuyến nghị dọn dữ liệu</t>
  </si>
  <si>
    <t>NV-0002</t>
  </si>
  <si>
    <t>QA Business 1050</t>
  </si>
  <si>
    <t>Đã tạo, cập nhật SĐT</t>
  </si>
  <si>
    <t>Email qa.biz.20260724.1050@example.test; không có FaceID/credential.</t>
  </si>
  <si>
    <t>Có thể xóa sau khi kết thúc test phá hủy.</t>
  </si>
  <si>
    <t>Phòng ban</t>
  </si>
  <si>
    <t>QA1050</t>
  </si>
  <si>
    <t>QA Department 1050</t>
  </si>
  <si>
    <t>Đã tạo</t>
  </si>
  <si>
    <t>Mô tả: Dữ liệu kiểm thử nghiệp vụ.</t>
  </si>
  <si>
    <t>Có thể xóa sau khi gỡ/chuyển nhân sự QA.</t>
  </si>
  <si>
    <t>Ca ngày</t>
  </si>
  <si>
    <t>QA-D1050</t>
  </si>
  <si>
    <t>QA Day 1050</t>
  </si>
  <si>
    <t>08:00-17:00, nghỉ 60 phút, hệ số 1.</t>
  </si>
  <si>
    <t>Có thể xóa sau khi kết thúc phân ca QA.</t>
  </si>
  <si>
    <t>Ca đêm</t>
  </si>
  <si>
    <t>QA-N1050</t>
  </si>
  <si>
    <t>QA Night 1050</t>
  </si>
  <si>
    <t>Lỗi cấu hình</t>
  </si>
  <si>
    <t>Nhập 22:00-06:00 nhưng lưu thành 08:00-17:00 Qua đêm.</t>
  </si>
  <si>
    <t>Giữ lại để tái hiện lỗi P0; không dùng vận hành.</t>
  </si>
  <si>
    <t>NV-0002 / seed-zone-main</t>
  </si>
  <si>
    <t>Khu vực chính</t>
  </si>
  <si>
    <t>Đã thêm</t>
  </si>
  <si>
    <t>Không có cửa/thiết bị; không thực hiện Đồng bộ thiết bị.</t>
  </si>
  <si>
    <t>Gỡ quyền trước khi xóa nhân sự QA.</t>
  </si>
  <si>
    <t>Phân ca</t>
  </si>
  <si>
    <t>NV-0002 / QA-D1050</t>
  </si>
  <si>
    <t>Từ 24/07/2026 - trống</t>
  </si>
  <si>
    <t>Lỗi persistence</t>
  </si>
  <si>
    <t>Đã chọn 01/08/2026-31/08/2026 nhưng API/UI ghi sai.</t>
  </si>
  <si>
    <t>Cần xử lý sau khi sửa lỗi P0.</t>
  </si>
  <si>
    <t>Dữ liệu không hợp lệ</t>
  </si>
  <si>
    <t>Không tạo</t>
  </si>
  <si>
    <t>qa-invalid-email</t>
  </si>
  <si>
    <t>Backend từ chối</t>
  </si>
  <si>
    <t>Thông báo: email must be an email.</t>
  </si>
  <si>
    <t>Không cần dọn.</t>
  </si>
  <si>
    <t>PHẠM VI VÀ TRẠNG THÁI KIỂM THỬ</t>
  </si>
  <si>
    <t>Kết quả black-box qua giao diện web local. Không suy luận lỗi thiết bị từ trạng thái mạng đơn thuần.</t>
  </si>
  <si>
    <t>Màn hình / nhóm</t>
  </si>
  <si>
    <t>Luồng đã kiểm thử</t>
  </si>
  <si>
    <t>Bằng chứng / quan sát</t>
  </si>
  <si>
    <t>Trang chủ</t>
  </si>
  <si>
    <t>Kiểm tra thống kê sau khi tạo dữ liệu QA</t>
  </si>
  <si>
    <t>Đạt</t>
  </si>
  <si>
    <t>Nhân sự tăng từ 2 lên 3; ca tăng từ 2 lên 4.</t>
  </si>
  <si>
    <t>Số liệu tổng quan refresh đúng.</t>
  </si>
  <si>
    <t>Tạo, validate email, sửa SĐT, tìm kiếm</t>
  </si>
  <si>
    <t>Đạt có lưu ý</t>
  </si>
  <si>
    <t>Email sai bị backend từ chối; NV-0002 tạo và cập nhật thành công.</t>
  </si>
  <si>
    <t>Tìm kiếm hoạt động sau debounce ngắn.</t>
  </si>
  <si>
    <t>Mở form và tạo QA1050</t>
  </si>
  <si>
    <t>Phòng ban QA1050 hiện trong danh sách.</t>
  </si>
  <si>
    <t>Chưa test xóa phòng ban.</t>
  </si>
  <si>
    <t>Tạo ca ngày, tạo/sửa ca qua đêm, phân ca</t>
  </si>
  <si>
    <t>Không đạt</t>
  </si>
  <si>
    <t>Có lỗi P0 giờ ca đêm và persistence ngày phân ca.</t>
  </si>
  <si>
    <t>Không test xóa/kết thúc phân ca.</t>
  </si>
  <si>
    <t>Cấp khu vực, xem theo nhân sự và tra cứu</t>
  </si>
  <si>
    <t>Đạt có lỗi</t>
  </si>
  <si>
    <t>Quyền lưu được; tra cứu chỉ hiện sau full reload.</t>
  </si>
  <si>
    <t>Không đồng bộ thiết bị.</t>
  </si>
  <si>
    <t>Thống kê, chi tiết, khoảng ngày, đối chiếu công</t>
  </si>
  <si>
    <t>Sai về sớm/số giờ/trạng thái giữa các bảng.</t>
  </si>
  <si>
    <t>Xuất Excel app gọi luồng blob, chưa xác minh file tải về.</t>
  </si>
  <si>
    <t>Realtime event, lọc check-out, trạng thái camera</t>
  </si>
  <si>
    <t>Lọc Check-out chỉ còn sự kiện Check-out; stream vẫn Mất tín hiệu.</t>
  </si>
  <si>
    <t>Socket/queue hiển thị Online/0 lỗi.</t>
  </si>
  <si>
    <t>Kiểm tra kết nối Akuvox và Camera</t>
  </si>
  <si>
    <t>Akuvox 126ms; Camera 10ms.</t>
  </si>
  <si>
    <t>Không mở cửa, sync hoặc gửi webhook mẫu.</t>
  </si>
  <si>
    <t>Chung, nhân sự, khu vực, credentials, lưu trữ</t>
  </si>
  <si>
    <t>Credentials chỉ có 2 FaceID cũ; QA không có credential.</t>
  </si>
  <si>
    <t>Không revoke/sync credential.</t>
  </si>
  <si>
    <t>Sơ tán FACP</t>
  </si>
  <si>
    <t>Kiểm tra standby UI</t>
  </si>
  <si>
    <t>Chỉ đọc</t>
  </si>
  <si>
    <t>0 theo dõi, trạng thái Standby.</t>
  </si>
  <si>
    <t>Không diễn tập FACP do có thể ảnh hưởng vận hành.</t>
  </si>
  <si>
    <t>Thao tác chưa chạy</t>
  </si>
  <si>
    <t>Import Excel, mở cửa, đồng bộ, webhook, FACP, xóa QA</t>
  </si>
  <si>
    <t>Chờ xác nhận</t>
  </si>
  <si>
    <t>Các thao tác có thể thay đổi dữ liệu vận hành hoặc thiết bị thật.</t>
  </si>
  <si>
    <t>Cần xác nhận riêng trước khi chạy.</t>
  </si>
  <si>
    <t>KIỂM THỬ BẢO MẬT BLACK-BOX</t>
  </si>
  <si>
    <t>Mục tiêu local: 192.168.2.148:3003 | Backend: 192.168.2.148:8010/api | Không quét LAN, không brute-force diện rộng, không thay đổi dữ liệu/thiết bị</t>
  </si>
  <si>
    <t>Nhóm</t>
  </si>
  <si>
    <t>Tình huống kiểm tra</t>
  </si>
  <si>
    <t>Kỳ vọng an toàn</t>
  </si>
  <si>
    <t>Kết quả thực tế</t>
  </si>
  <si>
    <t>Tác động</t>
  </si>
  <si>
    <t>Bằng chứng</t>
  </si>
  <si>
    <t>Xác thực</t>
  </si>
  <si>
    <t>Đăng nhập bằng admin/admin123; kiểm tra form đăng nhập.</t>
  </si>
  <si>
    <t>Không tồn tại mật khẩu mặc định; UI không tự điền thông tin xác thực.</t>
  </si>
  <si>
    <t>POST /auth/login trả 201 và token vai trò ADMIN. Form tự điền admin/admin123.</t>
  </si>
  <si>
    <t>Chiếm quyền quản trị, truy cập dữ liệu HR và cấu hình thiết bị.</t>
  </si>
  <si>
    <t>Khóa/đổi ngay tài khoản admin; ép đổi mật khẩu; bỏ prefill; áp dụng mật khẩu mạnh và MFA cho quản trị.</t>
  </si>
  <si>
    <t>Xác nhận</t>
  </si>
  <si>
    <t>24/07/2026, kiểm tra trực tiếp.</t>
  </si>
  <si>
    <t>Mã hóa truyền tải</t>
  </si>
  <si>
    <t>Mở HTTPS và HTTP cho frontend.</t>
  </si>
  <si>
    <t>Đăng nhập và dữ liệu nhạy cảm phải chạy TLS.</t>
  </si>
  <si>
    <t>HTTP :3003 trả 200; HTTPS không thiết lập được kết nối SSL.</t>
  </si>
  <si>
    <t>Có thể bị nghe lén/sửa mật khẩu, JWT và dữ liệu HR trong mạng nội bộ.</t>
  </si>
  <si>
    <t>Đặt reverse proxy TLS, chứng thư nội bộ tin cậy, redirect HTTP sang HTTPS; không bật HSTS trước khi TLS hoạt động.</t>
  </si>
  <si>
    <t>24/07/2026, request trực tiếp.</t>
  </si>
  <si>
    <t>Phiên đăng nhập</t>
  </si>
  <si>
    <t>Phân tích JWT sau đăng nhập và header phản hồi.</t>
  </si>
  <si>
    <t>Access token ngắn hạn; phiên bảo vệ bằng cookie HttpOnly/Secure/SameSite hoặc cơ chế tương đương.</t>
  </si>
  <si>
    <t>JWT có thời hạn 7 ngày; phản hồi đăng nhập không có Set-Cookie.</t>
  </si>
  <si>
    <t>Bearer token bị lộ có thể dùng lại dài ngày.</t>
  </si>
  <si>
    <t>Giảm access token còn 10-15 phút; refresh token HttpOnly Secure SameSite; revoke/rotate khi logout hoặc đổi mật khẩu.</t>
  </si>
  <si>
    <t>iat/exp chênh 168 giờ; Set-Cookie=false.</t>
  </si>
  <si>
    <t>Chống đoán mật khẩu</t>
  </si>
  <si>
    <t>Gửi 7 lần đăng nhập sai cho một user không tồn tại.</t>
  </si>
  <si>
    <t>Có giới hạn tốc độ/backoff hoặc khóa tạm thời theo IP và tài khoản.</t>
  </si>
  <si>
    <t>Cả 7 lần đều trả 401, không thấy throttle hoặc block tạm thời.</t>
  </si>
  <si>
    <t>Tăng nguy cơ password spraying/brute-force có kiểm soát.</t>
  </si>
  <si>
    <t>Rate limit theo IP + username, exponential backoff, lockout có giám sát và cảnh báo bất thường.</t>
  </si>
  <si>
    <t>7 request sai liên tiếp, không mở rộng thêm.</t>
  </si>
  <si>
    <t>Header bảo vệ</t>
  </si>
  <si>
    <t>Kiểm tra header phản hồi frontend.</t>
  </si>
  <si>
    <t>Có CSP, X-Frame-Options/frame-ancestors, X-Content-Type-Options, Referrer-Policy, Permissions-Policy.</t>
  </si>
  <si>
    <t>Không có CSP, X-Frame-Options, X-Content-Type-Options, Referrer-Policy, Permissions-Policy; HSTS cũng chưa có.</t>
  </si>
  <si>
    <t>Tăng bề mặt clickjacking, MIME sniffing và XSS khi có lỗi khác.</t>
  </si>
  <si>
    <t>Thiết lập header tại reverse proxy/Next.js; CSP triển khai theo report-only trước khi enforce; HSTS sau TLS.</t>
  </si>
  <si>
    <t>GET / header kiểm tra trực tiếp.</t>
  </si>
  <si>
    <t>Lộ thông tin</t>
  </si>
  <si>
    <t>Gọi GET /api/health không có Authorization.</t>
  </si>
  <si>
    <t>Health public chỉ trả trạng thái tối thiểu hoặc endpoint chi tiết yêu cầu xác thực.</t>
  </si>
  <si>
    <t>Trả 200 kèm trạng thái PostgreSQL, Redis, MinIO, queue Akuvox và thông tin vận hành.</t>
  </si>
  <si>
    <t>Hỗ trợ do thám hạ tầng trước khi tấn công.</t>
  </si>
  <si>
    <t>Chỉ public liveness tối thiểu; bảo vệ health chi tiết theo mạng nội bộ/auth; bỏ metadata không cần thiết.</t>
  </si>
  <si>
    <t>GET /api/health unauthenticated = 200.</t>
  </si>
  <si>
    <t>Bảo vệ route</t>
  </si>
  <si>
    <t>Mở /home không đăng nhập; gọi API /users và /devices không token.</t>
  </si>
  <si>
    <t>Route web cần redirect/guard; API phải từ chối dữ liệu không xác thực.</t>
  </si>
  <si>
    <t>Frontend trả shell 200 nhưng không thấy PII; /api/users và /api/devices trả 401.</t>
  </si>
  <si>
    <t>Chưa lộ dữ liệu qua API, nhưng kiểm soát route web chưa chặt và khó quan sát.</t>
  </si>
  <si>
    <t>Thêm middleware/route guard redirect login; giữ kiểm tra API phía server như hiện tại.</t>
  </si>
  <si>
    <t>Không thấy PII trong HTML; API đã chặn.</t>
  </si>
  <si>
    <t>Fingerprint</t>
  </si>
  <si>
    <t>Kiểm tra header và các path source/config công khai.</t>
  </si>
  <si>
    <t>Không lộ công nghệ không cần thiết, source map hoặc file cấu hình.</t>
  </si>
  <si>
    <t>Có X-Powered-By: Next.js; .env, .git/HEAD, source map và config được thử trả 404.</t>
  </si>
  <si>
    <t>Fingerprint đơn lẻ có tác động thấp; các path nhạy cảm chưa bị lộ trong mẫu thử.</t>
  </si>
  <si>
    <t>Ẩn X-Powered-By; tiếp tục chặn artifact deploy nhạy cảm và kiểm tra CI/CD.</t>
  </si>
  <si>
    <t>Các path mẫu trả 404.</t>
  </si>
  <si>
    <t>KIỂM SOÁT ĐÃ XÁC NHẬN</t>
  </si>
  <si>
    <t>Kiểm soát</t>
  </si>
  <si>
    <t>Không lộ API quản trị khi không token</t>
  </si>
  <si>
    <t>/api/users và /api/devices trả 401; JWT sửa nội dung cũng trả 401.</t>
  </si>
  <si>
    <t>CORS và file deploy nhạy cảm</t>
  </si>
  <si>
    <t>CORS chỉ cho http://192.168.2.148:3003; origin evil không được allow. .env/.git/source map thử trả 404.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</si>
</sst>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6"/>
      <color rgb="FFFFFFFF"/>
      <name val="Carlito"/>
    </font>
    <font>
      <i/>
      <sz val="10"/>
      <color rgb="FF475569"/>
      <name val="Carlito"/>
    </font>
    <font>
      <b/>
      <sz val="11"/>
      <color rgb="FFFFFFFF"/>
      <name val="Carlito"/>
    </font>
    <font>
      <b/>
      <sz val="22"/>
      <color rgb="FF163C4A"/>
      <name val="Carlito"/>
    </font>
    <font>
      <b/>
      <sz val="12"/>
      <color rgb="FF163C4A"/>
      <name val="Carlito"/>
    </font>
    <font>
      <sz val="11"/>
      <color rgb="FF163C4A"/>
      <name val="Carlito"/>
    </font>
    <font>
      <b/>
      <sz val="11"/>
      <color rgb="FF163C4A"/>
      <name val="Carlito"/>
    </font>
  </fonts>
  <fills count="11">
    <fill>
      <patternFill patternType="none"/>
    </fill>
    <fill>
      <patternFill patternType="gray125"/>
    </fill>
    <fill>
      <patternFill patternType="solid">
        <fgColor rgb="FF163C4A"/>
      </patternFill>
    </fill>
    <fill>
      <patternFill patternType="solid">
        <fgColor rgb="FFE8F5F0"/>
      </patternFill>
    </fill>
    <fill>
      <patternFill patternType="solid">
        <fgColor rgb="FF007F5F"/>
      </patternFill>
    </fill>
    <fill>
      <patternFill patternType="solid">
        <fgColor rgb="FFFFFFFF"/>
      </patternFill>
    </fill>
    <fill>
      <patternFill patternType="solid">
        <fgColor rgb="FFF7FAFC"/>
      </patternFill>
    </fill>
    <fill>
      <patternFill patternType="solid">
        <fgColor rgb="FFFDE2E2"/>
      </patternFill>
    </fill>
    <fill>
      <patternFill patternType="solid">
        <fgColor rgb="FFFFF0D6"/>
      </patternFill>
    </fill>
    <fill>
      <patternFill patternType="solid">
        <fgColor rgb="FFFFF8CC"/>
      </patternFill>
    </fill>
    <fill>
      <patternFill patternType="solid">
        <fgColor rgb="FFE6F0FF"/>
      </patternFill>
    </fill>
  </fills>
  <borders count="21">
    <border>
      <left/>
      <right/>
      <top/>
      <bottom/>
      <diagonal/>
    </border>
    <border>
      <left style="medium">
        <color rgb="FFD7E1E8"/>
      </left>
      <right/>
      <top style="medium">
        <color rgb="FFD7E1E8"/>
      </top>
      <bottom/>
      <diagonal/>
    </border>
    <border>
      <left/>
      <right style="medium">
        <color rgb="FFD7E1E8"/>
      </right>
      <top style="medium">
        <color rgb="FFD7E1E8"/>
      </top>
      <bottom/>
      <diagonal/>
    </border>
    <border>
      <left style="medium">
        <color rgb="FFD7E1E8"/>
      </left>
      <right/>
      <top/>
      <bottom style="medium">
        <color rgb="FFD7E1E8"/>
      </bottom>
      <diagonal/>
    </border>
    <border>
      <left/>
      <right style="medium">
        <color rgb="FFD7E1E8"/>
      </right>
      <top/>
      <bottom style="medium">
        <color rgb="FFD7E1E8"/>
      </bottom>
      <diagonal/>
    </border>
    <border>
      <left style="thin">
        <color rgb="FFD7E1E8"/>
      </left>
      <right/>
      <top style="thin">
        <color rgb="FFD7E1E8"/>
      </top>
      <bottom/>
      <diagonal/>
    </border>
    <border>
      <left/>
      <right/>
      <top style="thin">
        <color rgb="FFD7E1E8"/>
      </top>
      <bottom/>
      <diagonal/>
    </border>
    <border>
      <left/>
      <right style="thin">
        <color rgb="FFD7E1E8"/>
      </right>
      <top style="thin">
        <color rgb="FFD7E1E8"/>
      </top>
      <bottom/>
      <diagonal/>
    </border>
    <border>
      <left style="thin">
        <color rgb="FFD7E1E8"/>
      </left>
      <right/>
      <top/>
      <bottom/>
      <diagonal/>
    </border>
    <border>
      <left/>
      <right style="thin">
        <color rgb="FFD7E1E8"/>
      </right>
      <top/>
      <bottom/>
      <diagonal/>
    </border>
    <border>
      <left style="thin">
        <color rgb="FFD7E1E8"/>
      </left>
      <right/>
      <top/>
      <bottom style="thin">
        <color rgb="FFD7E1E8"/>
      </bottom>
      <diagonal/>
    </border>
    <border>
      <left/>
      <right/>
      <top/>
      <bottom style="thin">
        <color rgb="FFD7E1E8"/>
      </bottom>
      <diagonal/>
    </border>
    <border>
      <left/>
      <right style="thin">
        <color rgb="FFD7E1E8"/>
      </right>
      <top/>
      <bottom style="thin">
        <color rgb="FFD7E1E8"/>
      </bottom>
      <diagonal/>
    </border>
    <border>
      <left style="thin">
        <color rgb="FF007F5F"/>
      </left>
      <right/>
      <top style="thin">
        <color rgb="FF007F5F"/>
      </top>
      <bottom style="thin">
        <color rgb="FF007F5F"/>
      </bottom>
      <diagonal/>
    </border>
    <border>
      <left/>
      <right/>
      <top style="thin">
        <color rgb="FF007F5F"/>
      </top>
      <bottom style="thin">
        <color rgb="FF007F5F"/>
      </bottom>
      <diagonal/>
    </border>
    <border>
      <left/>
      <right style="thin">
        <color rgb="FF007F5F"/>
      </right>
      <top style="thin">
        <color rgb="FF007F5F"/>
      </top>
      <bottom style="thin">
        <color rgb="FF007F5F"/>
      </bottom>
      <diagonal/>
    </border>
    <border>
      <left style="thin">
        <color rgb="FFD7E1E8"/>
      </left>
      <right style="thin">
        <color rgb="FFD7E1E8"/>
      </right>
      <top/>
      <bottom style="thin">
        <color rgb="FFD7E1E8"/>
      </bottom>
      <diagonal/>
    </border>
    <border>
      <left/>
      <right style="thin">
        <color rgb="FFD7E1E8"/>
      </right>
      <top style="thin">
        <color rgb="FFD7E1E8"/>
      </top>
      <bottom style="thin">
        <color rgb="FFD7E1E8"/>
      </bottom>
      <diagonal/>
    </border>
    <border>
      <left style="thin">
        <color rgb="FFD7E1E8"/>
      </left>
      <right style="thin">
        <color rgb="FFD7E1E8"/>
      </right>
      <top style="thin">
        <color rgb="FFD7E1E8"/>
      </top>
      <bottom style="thin">
        <color rgb="FFD7E1E8"/>
      </bottom>
      <diagonal/>
    </border>
    <border>
      <left style="thin">
        <color rgb="FFD7E1E8"/>
      </left>
      <right/>
      <top style="thin">
        <color rgb="FFD7E1E8"/>
      </top>
      <bottom style="thin">
        <color rgb="FFD7E1E8"/>
      </bottom>
      <diagonal/>
    </border>
    <border>
      <left style="thin">
        <color rgb="FFD7E1E8"/>
      </left>
      <right style="thin">
        <color rgb="FFD7E1E8"/>
      </right>
      <top style="thin">
        <color rgb="FFD7E1E8"/>
      </top>
      <bottom/>
      <diagonal/>
    </border>
  </borders>
  <cellStyleXfs count="1">
    <xf numFmtId="0" fontId="0" fillId="0" borderId="0"/>
  </cellStyleXfs>
  <cellXfs count="43">
    <xf numFmtId="0" fontId="0" fillId="0" borderId="0" xfId="0"/>
    <xf numFmtId="0" fontId="3" fillId="4" borderId="13"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0" fillId="0" borderId="12" xfId="0" applyBorder="1" applyAlignment="1">
      <alignment vertical="top" wrapText="1"/>
    </xf>
    <xf numFmtId="0" fontId="0" fillId="0" borderId="16" xfId="0" applyBorder="1" applyAlignment="1">
      <alignment vertical="top" wrapText="1"/>
    </xf>
    <xf numFmtId="0" fontId="0" fillId="0" borderId="10"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7" xfId="0" applyBorder="1" applyAlignment="1">
      <alignment vertical="top" wrapText="1"/>
    </xf>
    <xf numFmtId="0" fontId="0" fillId="0" borderId="20" xfId="0" applyBorder="1" applyAlignment="1">
      <alignment vertical="top" wrapText="1"/>
    </xf>
    <xf numFmtId="0" fontId="0" fillId="0" borderId="5" xfId="0" applyBorder="1" applyAlignment="1">
      <alignment vertical="top" wrapText="1"/>
    </xf>
    <xf numFmtId="0" fontId="0" fillId="7" borderId="18" xfId="0" applyFill="1" applyBorder="1" applyAlignment="1">
      <alignment vertical="top" wrapText="1"/>
    </xf>
    <xf numFmtId="0" fontId="0" fillId="8" borderId="18" xfId="0" applyFill="1" applyBorder="1" applyAlignment="1">
      <alignment vertical="top" wrapText="1"/>
    </xf>
    <xf numFmtId="0" fontId="0" fillId="9" borderId="18" xfId="0" applyFill="1" applyBorder="1" applyAlignment="1">
      <alignment vertical="top" wrapText="1"/>
    </xf>
    <xf numFmtId="0" fontId="0" fillId="10" borderId="18" xfId="0" applyFill="1" applyBorder="1" applyAlignment="1">
      <alignment vertical="top" wrapText="1"/>
    </xf>
    <xf numFmtId="0" fontId="3" fillId="4" borderId="18" xfId="0" applyFont="1" applyFill="1" applyBorder="1" applyAlignment="1">
      <alignment horizontal="center" vertical="center" wrapText="1"/>
    </xf>
    <xf numFmtId="0" fontId="7" fillId="7" borderId="18" xfId="0" applyFont="1" applyFill="1" applyBorder="1" applyAlignment="1">
      <alignment horizontal="center" vertical="center" wrapText="1"/>
    </xf>
    <xf numFmtId="0" fontId="7" fillId="8" borderId="18" xfId="0" applyFont="1" applyFill="1" applyBorder="1" applyAlignment="1">
      <alignment horizontal="center" vertical="center" wrapText="1"/>
    </xf>
    <xf numFmtId="0" fontId="7" fillId="9" borderId="18" xfId="0" applyFont="1" applyFill="1" applyBorder="1" applyAlignment="1">
      <alignment horizontal="center" vertical="center" wrapText="1"/>
    </xf>
    <xf numFmtId="0" fontId="7" fillId="10" borderId="18" xfId="0" applyFont="1" applyFill="1" applyBorder="1" applyAlignment="1">
      <alignment horizontal="center" vertical="center" wrapText="1"/>
    </xf>
    <xf numFmtId="0" fontId="7" fillId="3" borderId="18" xfId="0" applyFont="1" applyFill="1" applyBorder="1" applyAlignment="1">
      <alignment vertical="center" wrapText="1"/>
    </xf>
    <xf numFmtId="0" fontId="1" fillId="2" borderId="0" xfId="0" applyFont="1" applyFill="1" applyAlignment="1">
      <alignment horizontal="left" vertical="center"/>
    </xf>
    <xf numFmtId="0" fontId="2" fillId="3" borderId="0" xfId="0" applyFont="1" applyFill="1" applyAlignment="1">
      <alignment horizontal="left" vertical="center"/>
    </xf>
    <xf numFmtId="0" fontId="3" fillId="4" borderId="0" xfId="0" applyFont="1" applyFill="1" applyAlignment="1">
      <alignment horizontal="center" vertical="center"/>
    </xf>
    <xf numFmtId="0" fontId="4" fillId="5" borderId="1"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5" fillId="3" borderId="0" xfId="0" applyFont="1" applyFill="1" applyAlignment="1">
      <alignment vertical="center"/>
    </xf>
    <xf numFmtId="0" fontId="6" fillId="6" borderId="5" xfId="0" applyFont="1" applyFill="1" applyBorder="1" applyAlignment="1">
      <alignment vertical="top" wrapText="1"/>
    </xf>
    <xf numFmtId="0" fontId="6" fillId="6" borderId="6" xfId="0" applyFont="1" applyFill="1" applyBorder="1" applyAlignment="1">
      <alignment vertical="top" wrapText="1"/>
    </xf>
    <xf numFmtId="0" fontId="6" fillId="6" borderId="7" xfId="0" applyFont="1" applyFill="1" applyBorder="1" applyAlignment="1">
      <alignment vertical="top" wrapText="1"/>
    </xf>
    <xf numFmtId="0" fontId="6" fillId="6" borderId="8" xfId="0" applyFont="1" applyFill="1" applyBorder="1" applyAlignment="1">
      <alignment vertical="top" wrapText="1"/>
    </xf>
    <xf numFmtId="0" fontId="6" fillId="6" borderId="0" xfId="0" applyFont="1" applyFill="1" applyAlignment="1">
      <alignment vertical="top" wrapText="1"/>
    </xf>
    <xf numFmtId="0" fontId="6" fillId="6" borderId="9" xfId="0" applyFont="1" applyFill="1" applyBorder="1" applyAlignment="1">
      <alignment vertical="top" wrapText="1"/>
    </xf>
    <xf numFmtId="0" fontId="6" fillId="6" borderId="10" xfId="0" applyFont="1" applyFill="1" applyBorder="1" applyAlignment="1">
      <alignment vertical="top" wrapText="1"/>
    </xf>
    <xf numFmtId="0" fontId="6" fillId="6" borderId="11" xfId="0" applyFont="1" applyFill="1" applyBorder="1" applyAlignment="1">
      <alignment vertical="top" wrapText="1"/>
    </xf>
    <xf numFmtId="0" fontId="6" fillId="6" borderId="12" xfId="0" applyFont="1" applyFill="1" applyBorder="1" applyAlignment="1">
      <alignment vertical="top" wrapText="1"/>
    </xf>
    <xf numFmtId="0" fontId="3" fillId="4" borderId="14"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0" fillId="6" borderId="18" xfId="0" applyFill="1" applyBorder="1" applyAlignment="1">
      <alignment vertical="center" wrapText="1"/>
    </xf>
  </cellXfs>
  <cellStyles count="1">
    <cellStyle name="Normal" xfId="0" builtinId="0"/>
  </cellStyles>
  <dxfs count="3">
    <dxf>
      <font>
        <b/>
        <color rgb="FF163C4A"/>
      </font>
      <fill>
        <patternFill patternType="solid">
          <bgColor rgb="FFFFF8CC"/>
        </patternFill>
      </fill>
    </dxf>
    <dxf>
      <font>
        <b/>
        <color rgb="FF163C4A"/>
      </font>
      <fill>
        <patternFill patternType="solid">
          <bgColor rgb="FFE8F5F0"/>
        </patternFill>
      </fill>
    </dxf>
    <dxf>
      <font>
        <b/>
        <color rgb="FF163C4A"/>
      </font>
      <fill>
        <patternFill patternType="solid">
          <bgColor rgb="FFFD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showGridLines="0" tabSelected="1" workbookViewId="0">
      <selection activeCell="K18" sqref="K18"/>
    </sheetView>
  </sheetViews>
  <sheetFormatPr defaultRowHeight="14.25"/>
  <cols>
    <col min="1" max="1" width="20" customWidth="1"/>
    <col min="2" max="4" width="18" customWidth="1"/>
    <col min="5" max="5" width="20" customWidth="1"/>
    <col min="6" max="8" width="18" customWidth="1"/>
  </cols>
  <sheetData>
    <row r="1" spans="1:8" ht="30" customHeight="1">
      <c r="A1" s="23" t="s">
        <v>0</v>
      </c>
      <c r="B1" s="23" t="s">
        <v>0</v>
      </c>
      <c r="C1" s="23" t="s">
        <v>0</v>
      </c>
      <c r="D1" s="23" t="s">
        <v>0</v>
      </c>
      <c r="E1" s="23" t="s">
        <v>0</v>
      </c>
      <c r="F1" s="23" t="s">
        <v>0</v>
      </c>
      <c r="G1" s="23" t="s">
        <v>0</v>
      </c>
      <c r="H1" s="23" t="s">
        <v>0</v>
      </c>
    </row>
    <row r="2" spans="1:8" ht="21.95" customHeight="1">
      <c r="A2" s="24" t="s">
        <v>1</v>
      </c>
      <c r="B2" s="24" t="s">
        <v>1</v>
      </c>
      <c r="C2" s="24" t="s">
        <v>1</v>
      </c>
      <c r="D2" s="24" t="s">
        <v>1</v>
      </c>
      <c r="E2" s="24" t="s">
        <v>1</v>
      </c>
      <c r="F2" s="24" t="s">
        <v>1</v>
      </c>
      <c r="G2" s="24" t="s">
        <v>1</v>
      </c>
      <c r="H2" s="24" t="s">
        <v>1</v>
      </c>
    </row>
    <row r="4" spans="1:8" ht="21.95" customHeight="1">
      <c r="A4" s="25" t="s">
        <v>2</v>
      </c>
      <c r="B4" s="25"/>
      <c r="C4" s="25" t="s">
        <v>3</v>
      </c>
      <c r="D4" s="25"/>
      <c r="E4" s="25" t="s">
        <v>4</v>
      </c>
      <c r="F4" s="25"/>
      <c r="G4" s="25" t="s">
        <v>5</v>
      </c>
      <c r="H4" s="25"/>
    </row>
    <row r="5" spans="1:8">
      <c r="A5" s="26">
        <f>COUNTIF('Lỗi chi tiết'!$A$5:$A$12,"P0")+COUNTIF('Kiểm thử bảo mật'!$A$5:$A$12,"P0")</f>
        <v>4</v>
      </c>
      <c r="B5" s="27"/>
      <c r="C5" s="26">
        <f>COUNTIF('Lỗi chi tiết'!$A$5:$A$12,"P1")+COUNTIF('Kiểm thử bảo mật'!$A$5:$A$12,"P1")</f>
        <v>4</v>
      </c>
      <c r="D5" s="27"/>
      <c r="E5" s="26">
        <f>COUNTIF('Lỗi chi tiết'!$A$5:$A$12,"P2")+COUNTIF('Kiểm thử bảo mật'!$A$5:$A$12,"P2")</f>
        <v>5</v>
      </c>
      <c r="F5" s="27"/>
      <c r="G5" s="26">
        <f>COUNTIF('Lỗi chi tiết'!$A$5:$A$12,"P3")+COUNTIF('Kiểm thử bảo mật'!$A$5:$A$12,"P3")</f>
        <v>3</v>
      </c>
      <c r="H5" s="27"/>
    </row>
    <row r="6" spans="1:8">
      <c r="A6" s="28"/>
      <c r="B6" s="29"/>
      <c r="C6" s="28"/>
      <c r="D6" s="29"/>
      <c r="E6" s="28"/>
      <c r="F6" s="29"/>
      <c r="G6" s="28"/>
      <c r="H6" s="29"/>
    </row>
    <row r="8" spans="1:8" ht="21.95" customHeight="1">
      <c r="A8" s="30" t="s">
        <v>6</v>
      </c>
      <c r="B8" s="30"/>
      <c r="C8" s="30"/>
      <c r="D8" s="30"/>
      <c r="E8" s="30"/>
      <c r="F8" s="30"/>
      <c r="G8" s="30"/>
      <c r="H8" s="30"/>
    </row>
    <row r="9" spans="1:8" ht="23.1" customHeight="1">
      <c r="A9" s="31" t="s">
        <v>7</v>
      </c>
      <c r="B9" s="32"/>
      <c r="C9" s="32"/>
      <c r="D9" s="32"/>
      <c r="E9" s="32"/>
      <c r="F9" s="32"/>
      <c r="G9" s="32"/>
      <c r="H9" s="33"/>
    </row>
    <row r="10" spans="1:8" ht="23.1" customHeight="1">
      <c r="A10" s="34"/>
      <c r="B10" s="35"/>
      <c r="C10" s="35"/>
      <c r="D10" s="35"/>
      <c r="E10" s="35"/>
      <c r="F10" s="35"/>
      <c r="G10" s="35"/>
      <c r="H10" s="36"/>
    </row>
    <row r="11" spans="1:8" ht="23.1" customHeight="1">
      <c r="A11" s="34"/>
      <c r="B11" s="35"/>
      <c r="C11" s="35"/>
      <c r="D11" s="35"/>
      <c r="E11" s="35"/>
      <c r="F11" s="35"/>
      <c r="G11" s="35"/>
      <c r="H11" s="36"/>
    </row>
    <row r="12" spans="1:8" ht="23.1" customHeight="1">
      <c r="A12" s="37"/>
      <c r="B12" s="38"/>
      <c r="C12" s="38"/>
      <c r="D12" s="38"/>
      <c r="E12" s="38"/>
      <c r="F12" s="38"/>
      <c r="G12" s="38"/>
      <c r="H12" s="39"/>
    </row>
    <row r="14" spans="1:8" ht="15.75">
      <c r="A14" s="30" t="s">
        <v>8</v>
      </c>
      <c r="B14" s="30"/>
      <c r="C14" s="30"/>
      <c r="D14" s="30"/>
      <c r="E14" s="30"/>
      <c r="F14" s="30"/>
      <c r="G14" s="30"/>
      <c r="H14" s="30"/>
    </row>
    <row r="15" spans="1:8" ht="27.95" customHeight="1">
      <c r="A15" s="1" t="s">
        <v>9</v>
      </c>
      <c r="B15" s="2" t="s">
        <v>10</v>
      </c>
      <c r="C15" s="2" t="s">
        <v>9</v>
      </c>
      <c r="D15" s="2" t="s">
        <v>10</v>
      </c>
      <c r="E15" s="2" t="s">
        <v>9</v>
      </c>
      <c r="F15" s="2" t="s">
        <v>10</v>
      </c>
      <c r="G15" s="2" t="s">
        <v>9</v>
      </c>
      <c r="H15" s="3" t="s">
        <v>10</v>
      </c>
    </row>
    <row r="16" spans="1:8" ht="27.95" customHeight="1">
      <c r="A16" s="4" t="s">
        <v>11</v>
      </c>
      <c r="B16" s="5" t="s">
        <v>12</v>
      </c>
      <c r="C16" s="5" t="s">
        <v>13</v>
      </c>
      <c r="D16" s="5" t="s">
        <v>14</v>
      </c>
      <c r="E16" s="5" t="s">
        <v>15</v>
      </c>
      <c r="F16" s="5" t="s">
        <v>16</v>
      </c>
      <c r="G16" s="5" t="s">
        <v>17</v>
      </c>
      <c r="H16" s="6" t="s">
        <v>18</v>
      </c>
    </row>
    <row r="17" spans="1:8" ht="27.95" customHeight="1">
      <c r="A17" s="7" t="s">
        <v>19</v>
      </c>
      <c r="B17" s="8" t="s">
        <v>20</v>
      </c>
      <c r="C17" s="8" t="s">
        <v>21</v>
      </c>
      <c r="D17" s="8" t="s">
        <v>22</v>
      </c>
      <c r="E17" s="8" t="s">
        <v>23</v>
      </c>
      <c r="F17" s="8" t="s">
        <v>24</v>
      </c>
      <c r="G17" s="8" t="s">
        <v>25</v>
      </c>
      <c r="H17" s="9" t="s">
        <v>26</v>
      </c>
    </row>
    <row r="18" spans="1:8" ht="27.95" customHeight="1">
      <c r="A18" s="7" t="s">
        <v>27</v>
      </c>
      <c r="B18" s="8" t="s">
        <v>28</v>
      </c>
      <c r="C18" s="8" t="s">
        <v>29</v>
      </c>
      <c r="D18" s="8" t="s">
        <v>30</v>
      </c>
      <c r="E18" s="8" t="s">
        <v>31</v>
      </c>
      <c r="F18" s="8" t="s">
        <v>32</v>
      </c>
      <c r="G18" s="8" t="s">
        <v>33</v>
      </c>
      <c r="H18" s="9" t="s">
        <v>34</v>
      </c>
    </row>
    <row r="19" spans="1:8" ht="27.95" customHeight="1">
      <c r="A19" s="10" t="s">
        <v>35</v>
      </c>
      <c r="B19" s="11" t="s">
        <v>36</v>
      </c>
      <c r="C19" s="11" t="s">
        <v>37</v>
      </c>
      <c r="D19" s="11" t="s">
        <v>38</v>
      </c>
      <c r="E19" s="11" t="s">
        <v>39</v>
      </c>
      <c r="F19" s="11" t="s">
        <v>40</v>
      </c>
      <c r="G19" s="11"/>
      <c r="H19" s="12"/>
    </row>
  </sheetData>
  <mergeCells count="13">
    <mergeCell ref="A9:H12"/>
    <mergeCell ref="A14:H14"/>
    <mergeCell ref="A5:B6"/>
    <mergeCell ref="C5:D6"/>
    <mergeCell ref="E5:F6"/>
    <mergeCell ref="G5:H6"/>
    <mergeCell ref="A8:H8"/>
    <mergeCell ref="A1:H1"/>
    <mergeCell ref="A2:H2"/>
    <mergeCell ref="A4:B4"/>
    <mergeCell ref="C4:D4"/>
    <mergeCell ref="E4:F4"/>
    <mergeCell ref="G4:H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
  <sheetViews>
    <sheetView showGridLines="0" topLeftCell="D1" workbookViewId="0">
      <selection activeCell="I12" sqref="I12"/>
    </sheetView>
  </sheetViews>
  <sheetFormatPr defaultRowHeight="14.25"/>
  <cols>
    <col min="1" max="1" width="11" customWidth="1"/>
    <col min="2" max="2" width="20" customWidth="1"/>
    <col min="3" max="3" width="36" customWidth="1"/>
    <col min="4" max="4" width="35" customWidth="1"/>
    <col min="5" max="5" width="38" customWidth="1"/>
    <col min="6" max="6" width="34" customWidth="1"/>
    <col min="7" max="7" width="36" customWidth="1"/>
    <col min="8" max="8" width="18" customWidth="1"/>
    <col min="9" max="9" width="28" customWidth="1"/>
  </cols>
  <sheetData>
    <row r="1" spans="1:9" ht="30" customHeight="1">
      <c r="A1" s="23" t="s">
        <v>41</v>
      </c>
      <c r="B1" s="23" t="s">
        <v>41</v>
      </c>
      <c r="C1" s="23" t="s">
        <v>41</v>
      </c>
      <c r="D1" s="23" t="s">
        <v>41</v>
      </c>
      <c r="E1" s="23" t="s">
        <v>41</v>
      </c>
      <c r="F1" s="23" t="s">
        <v>41</v>
      </c>
      <c r="G1" s="23" t="s">
        <v>41</v>
      </c>
      <c r="H1" s="23" t="s">
        <v>41</v>
      </c>
      <c r="I1" s="23" t="s">
        <v>41</v>
      </c>
    </row>
    <row r="2" spans="1:9" ht="21.95" customHeight="1">
      <c r="A2" s="24" t="s">
        <v>42</v>
      </c>
      <c r="B2" s="24" t="s">
        <v>42</v>
      </c>
      <c r="C2" s="24" t="s">
        <v>42</v>
      </c>
      <c r="D2" s="24" t="s">
        <v>42</v>
      </c>
      <c r="E2" s="24" t="s">
        <v>42</v>
      </c>
      <c r="F2" s="24" t="s">
        <v>42</v>
      </c>
      <c r="G2" s="24" t="s">
        <v>42</v>
      </c>
      <c r="H2" s="24" t="s">
        <v>42</v>
      </c>
      <c r="I2" s="24" t="s">
        <v>42</v>
      </c>
    </row>
    <row r="4" spans="1:9" ht="27.95" customHeight="1">
      <c r="A4" s="17" t="s">
        <v>43</v>
      </c>
      <c r="B4" s="17" t="s">
        <v>9</v>
      </c>
      <c r="C4" s="17" t="s">
        <v>44</v>
      </c>
      <c r="D4" s="17" t="s">
        <v>45</v>
      </c>
      <c r="E4" s="17" t="s">
        <v>46</v>
      </c>
      <c r="F4" s="17" t="s">
        <v>47</v>
      </c>
      <c r="G4" s="17" t="s">
        <v>48</v>
      </c>
      <c r="H4" s="17" t="s">
        <v>49</v>
      </c>
      <c r="I4" s="17" t="s">
        <v>50</v>
      </c>
    </row>
    <row r="5" spans="1:9" ht="57.95" customHeight="1">
      <c r="A5" s="18" t="s">
        <v>51</v>
      </c>
      <c r="B5" s="13" t="s">
        <v>13</v>
      </c>
      <c r="C5" s="13" t="s">
        <v>52</v>
      </c>
      <c r="D5" s="13" t="s">
        <v>53</v>
      </c>
      <c r="E5" s="13" t="s">
        <v>54</v>
      </c>
      <c r="F5" s="13" t="s">
        <v>55</v>
      </c>
      <c r="G5" s="13" t="s">
        <v>56</v>
      </c>
      <c r="H5" s="13" t="s">
        <v>57</v>
      </c>
      <c r="I5" s="13" t="s">
        <v>58</v>
      </c>
    </row>
    <row r="6" spans="1:9" ht="57.95" customHeight="1">
      <c r="A6" s="18" t="s">
        <v>51</v>
      </c>
      <c r="B6" s="13" t="s">
        <v>13</v>
      </c>
      <c r="C6" s="13" t="s">
        <v>59</v>
      </c>
      <c r="D6" s="13" t="s">
        <v>60</v>
      </c>
      <c r="E6" s="13" t="s">
        <v>61</v>
      </c>
      <c r="F6" s="13" t="s">
        <v>62</v>
      </c>
      <c r="G6" s="13" t="s">
        <v>63</v>
      </c>
      <c r="H6" s="13" t="s">
        <v>57</v>
      </c>
      <c r="I6" s="13" t="s">
        <v>64</v>
      </c>
    </row>
    <row r="7" spans="1:9" ht="57.95" customHeight="1">
      <c r="A7" s="18" t="s">
        <v>51</v>
      </c>
      <c r="B7" s="13" t="s">
        <v>65</v>
      </c>
      <c r="C7" s="13" t="s">
        <v>66</v>
      </c>
      <c r="D7" s="13" t="s">
        <v>67</v>
      </c>
      <c r="E7" s="13" t="s">
        <v>68</v>
      </c>
      <c r="F7" s="13" t="s">
        <v>69</v>
      </c>
      <c r="G7" s="13" t="s">
        <v>70</v>
      </c>
      <c r="H7" s="13" t="s">
        <v>57</v>
      </c>
      <c r="I7" s="13" t="s">
        <v>71</v>
      </c>
    </row>
    <row r="8" spans="1:9" ht="57.95" customHeight="1">
      <c r="A8" s="19" t="s">
        <v>72</v>
      </c>
      <c r="B8" s="14" t="s">
        <v>73</v>
      </c>
      <c r="C8" s="14" t="s">
        <v>74</v>
      </c>
      <c r="D8" s="14" t="s">
        <v>75</v>
      </c>
      <c r="E8" s="14" t="s">
        <v>76</v>
      </c>
      <c r="F8" s="14" t="s">
        <v>77</v>
      </c>
      <c r="G8" s="14" t="s">
        <v>78</v>
      </c>
      <c r="H8" s="14" t="s">
        <v>57</v>
      </c>
      <c r="I8" s="14" t="s">
        <v>79</v>
      </c>
    </row>
    <row r="9" spans="1:9" ht="57.95" customHeight="1">
      <c r="A9" s="20" t="s">
        <v>80</v>
      </c>
      <c r="B9" s="15" t="s">
        <v>15</v>
      </c>
      <c r="C9" s="15" t="s">
        <v>81</v>
      </c>
      <c r="D9" s="15" t="s">
        <v>82</v>
      </c>
      <c r="E9" s="15" t="s">
        <v>83</v>
      </c>
      <c r="F9" s="15" t="s">
        <v>84</v>
      </c>
      <c r="G9" s="15" t="s">
        <v>85</v>
      </c>
      <c r="H9" s="15" t="s">
        <v>57</v>
      </c>
      <c r="I9" s="15" t="s">
        <v>86</v>
      </c>
    </row>
    <row r="10" spans="1:9" ht="57.95" customHeight="1">
      <c r="A10" s="20" t="s">
        <v>80</v>
      </c>
      <c r="B10" s="15" t="s">
        <v>17</v>
      </c>
      <c r="C10" s="15" t="s">
        <v>87</v>
      </c>
      <c r="D10" s="15" t="s">
        <v>88</v>
      </c>
      <c r="E10" s="15" t="s">
        <v>89</v>
      </c>
      <c r="F10" s="15" t="s">
        <v>90</v>
      </c>
      <c r="G10" s="15" t="s">
        <v>91</v>
      </c>
      <c r="H10" s="15" t="s">
        <v>57</v>
      </c>
      <c r="I10" s="15" t="s">
        <v>92</v>
      </c>
    </row>
    <row r="11" spans="1:9" ht="57.95" customHeight="1">
      <c r="A11" s="21" t="s">
        <v>93</v>
      </c>
      <c r="B11" s="16" t="s">
        <v>11</v>
      </c>
      <c r="C11" s="16" t="s">
        <v>94</v>
      </c>
      <c r="D11" s="16" t="s">
        <v>95</v>
      </c>
      <c r="E11" s="16" t="s">
        <v>96</v>
      </c>
      <c r="F11" s="16" t="s">
        <v>97</v>
      </c>
      <c r="G11" s="16" t="s">
        <v>98</v>
      </c>
      <c r="H11" s="16" t="s">
        <v>57</v>
      </c>
      <c r="I11" s="16" t="s">
        <v>99</v>
      </c>
    </row>
    <row r="12" spans="1:9" ht="57.95" customHeight="1">
      <c r="A12" s="21" t="s">
        <v>93</v>
      </c>
      <c r="B12" s="16" t="s">
        <v>100</v>
      </c>
      <c r="C12" s="16" t="s">
        <v>101</v>
      </c>
      <c r="D12" s="16" t="s">
        <v>102</v>
      </c>
      <c r="E12" s="16" t="s">
        <v>103</v>
      </c>
      <c r="F12" s="16" t="s">
        <v>104</v>
      </c>
      <c r="G12" s="16" t="s">
        <v>105</v>
      </c>
      <c r="H12" s="16" t="s">
        <v>57</v>
      </c>
      <c r="I12" s="16" t="s">
        <v>106</v>
      </c>
    </row>
  </sheetData>
  <mergeCells count="2">
    <mergeCell ref="A1:I1"/>
    <mergeCell ref="A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showGridLines="0" workbookViewId="0">
      <selection activeCell="E13" sqref="E13"/>
    </sheetView>
  </sheetViews>
  <sheetFormatPr defaultRowHeight="14.25"/>
  <cols>
    <col min="1" max="1" width="19" customWidth="1"/>
    <col min="2" max="2" width="18" customWidth="1"/>
    <col min="3" max="4" width="28" customWidth="1"/>
    <col min="5" max="5" width="38" customWidth="1"/>
    <col min="6" max="6" width="24" customWidth="1"/>
  </cols>
  <sheetData>
    <row r="1" spans="1:6" ht="30" customHeight="1">
      <c r="A1" s="23" t="s">
        <v>107</v>
      </c>
      <c r="B1" s="23" t="s">
        <v>107</v>
      </c>
      <c r="C1" s="23" t="s">
        <v>107</v>
      </c>
      <c r="D1" s="23" t="s">
        <v>107</v>
      </c>
      <c r="E1" s="23" t="s">
        <v>107</v>
      </c>
      <c r="F1" s="23" t="s">
        <v>107</v>
      </c>
    </row>
    <row r="2" spans="1:6" ht="21.95" customHeight="1">
      <c r="A2" s="24" t="s">
        <v>108</v>
      </c>
      <c r="B2" s="24" t="s">
        <v>108</v>
      </c>
      <c r="C2" s="24" t="s">
        <v>108</v>
      </c>
      <c r="D2" s="24" t="s">
        <v>108</v>
      </c>
      <c r="E2" s="24" t="s">
        <v>108</v>
      </c>
      <c r="F2" s="24" t="s">
        <v>108</v>
      </c>
    </row>
    <row r="4" spans="1:6" ht="27.95" customHeight="1">
      <c r="A4" s="17" t="s">
        <v>109</v>
      </c>
      <c r="B4" s="17" t="s">
        <v>110</v>
      </c>
      <c r="C4" s="17" t="s">
        <v>111</v>
      </c>
      <c r="D4" s="17" t="s">
        <v>49</v>
      </c>
      <c r="E4" s="17" t="s">
        <v>112</v>
      </c>
      <c r="F4" s="17" t="s">
        <v>113</v>
      </c>
    </row>
    <row r="5" spans="1:6" ht="42" customHeight="1">
      <c r="A5" s="8" t="s">
        <v>11</v>
      </c>
      <c r="B5" s="8" t="s">
        <v>114</v>
      </c>
      <c r="C5" s="8" t="s">
        <v>115</v>
      </c>
      <c r="D5" s="8" t="s">
        <v>116</v>
      </c>
      <c r="E5" s="8" t="s">
        <v>117</v>
      </c>
      <c r="F5" s="8" t="s">
        <v>118</v>
      </c>
    </row>
    <row r="6" spans="1:6" ht="42" customHeight="1">
      <c r="A6" s="8" t="s">
        <v>119</v>
      </c>
      <c r="B6" s="8" t="s">
        <v>120</v>
      </c>
      <c r="C6" s="8" t="s">
        <v>121</v>
      </c>
      <c r="D6" s="8" t="s">
        <v>122</v>
      </c>
      <c r="E6" s="8" t="s">
        <v>123</v>
      </c>
      <c r="F6" s="8" t="s">
        <v>124</v>
      </c>
    </row>
    <row r="7" spans="1:6" ht="42" customHeight="1">
      <c r="A7" s="8" t="s">
        <v>125</v>
      </c>
      <c r="B7" s="8" t="s">
        <v>126</v>
      </c>
      <c r="C7" s="8" t="s">
        <v>127</v>
      </c>
      <c r="D7" s="8" t="s">
        <v>122</v>
      </c>
      <c r="E7" s="8" t="s">
        <v>128</v>
      </c>
      <c r="F7" s="8" t="s">
        <v>129</v>
      </c>
    </row>
    <row r="8" spans="1:6" ht="42" customHeight="1">
      <c r="A8" s="8" t="s">
        <v>130</v>
      </c>
      <c r="B8" s="8" t="s">
        <v>131</v>
      </c>
      <c r="C8" s="8" t="s">
        <v>132</v>
      </c>
      <c r="D8" s="8" t="s">
        <v>133</v>
      </c>
      <c r="E8" s="8" t="s">
        <v>134</v>
      </c>
      <c r="F8" s="8" t="s">
        <v>135</v>
      </c>
    </row>
    <row r="9" spans="1:6" ht="42" customHeight="1">
      <c r="A9" s="13" t="s">
        <v>15</v>
      </c>
      <c r="B9" s="13" t="s">
        <v>136</v>
      </c>
      <c r="C9" s="13" t="s">
        <v>137</v>
      </c>
      <c r="D9" s="13" t="s">
        <v>138</v>
      </c>
      <c r="E9" s="13" t="s">
        <v>139</v>
      </c>
      <c r="F9" s="13" t="s">
        <v>140</v>
      </c>
    </row>
    <row r="10" spans="1:6" ht="42" customHeight="1">
      <c r="A10" s="13" t="s">
        <v>141</v>
      </c>
      <c r="B10" s="13" t="s">
        <v>142</v>
      </c>
      <c r="C10" s="13" t="s">
        <v>143</v>
      </c>
      <c r="D10" s="13" t="s">
        <v>144</v>
      </c>
      <c r="E10" s="13" t="s">
        <v>145</v>
      </c>
      <c r="F10" s="13" t="s">
        <v>146</v>
      </c>
    </row>
    <row r="11" spans="1:6" ht="42" customHeight="1">
      <c r="A11" s="8" t="s">
        <v>147</v>
      </c>
      <c r="B11" s="8" t="s">
        <v>148</v>
      </c>
      <c r="C11" s="8" t="s">
        <v>149</v>
      </c>
      <c r="D11" s="8" t="s">
        <v>150</v>
      </c>
      <c r="E11" s="8" t="s">
        <v>151</v>
      </c>
      <c r="F11" s="8" t="s">
        <v>152</v>
      </c>
    </row>
  </sheetData>
  <mergeCells count="2">
    <mergeCell ref="A1:F1"/>
    <mergeCell ref="A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showGridLines="0" workbookViewId="0">
      <selection activeCell="B20" sqref="B20"/>
    </sheetView>
  </sheetViews>
  <sheetFormatPr defaultRowHeight="14.25"/>
  <cols>
    <col min="1" max="1" width="23" customWidth="1"/>
    <col min="2" max="2" width="34" customWidth="1"/>
    <col min="3" max="3" width="22" customWidth="1"/>
    <col min="4" max="4" width="46" customWidth="1"/>
    <col min="5" max="5" width="34" customWidth="1"/>
  </cols>
  <sheetData>
    <row r="1" spans="1:5" ht="30" customHeight="1">
      <c r="A1" s="23" t="s">
        <v>153</v>
      </c>
      <c r="B1" s="23" t="s">
        <v>153</v>
      </c>
      <c r="C1" s="23" t="s">
        <v>153</v>
      </c>
      <c r="D1" s="23" t="s">
        <v>153</v>
      </c>
      <c r="E1" s="23" t="s">
        <v>153</v>
      </c>
    </row>
    <row r="2" spans="1:5" ht="21.95" customHeight="1">
      <c r="A2" s="24" t="s">
        <v>154</v>
      </c>
      <c r="B2" s="24" t="s">
        <v>154</v>
      </c>
      <c r="C2" s="24" t="s">
        <v>154</v>
      </c>
      <c r="D2" s="24" t="s">
        <v>154</v>
      </c>
      <c r="E2" s="24" t="s">
        <v>154</v>
      </c>
    </row>
    <row r="4" spans="1:5" ht="27.95" customHeight="1">
      <c r="A4" s="17" t="s">
        <v>155</v>
      </c>
      <c r="B4" s="17" t="s">
        <v>156</v>
      </c>
      <c r="C4" s="17" t="s">
        <v>10</v>
      </c>
      <c r="D4" s="17" t="s">
        <v>157</v>
      </c>
      <c r="E4" s="17" t="s">
        <v>50</v>
      </c>
    </row>
    <row r="5" spans="1:5" ht="38.1" customHeight="1">
      <c r="A5" s="8" t="s">
        <v>158</v>
      </c>
      <c r="B5" s="8" t="s">
        <v>159</v>
      </c>
      <c r="C5" s="8" t="s">
        <v>160</v>
      </c>
      <c r="D5" s="8" t="s">
        <v>161</v>
      </c>
      <c r="E5" s="8" t="s">
        <v>162</v>
      </c>
    </row>
    <row r="6" spans="1:5" ht="38.1" customHeight="1">
      <c r="A6" s="8" t="s">
        <v>11</v>
      </c>
      <c r="B6" s="8" t="s">
        <v>163</v>
      </c>
      <c r="C6" s="8" t="s">
        <v>164</v>
      </c>
      <c r="D6" s="8" t="s">
        <v>165</v>
      </c>
      <c r="E6" s="8" t="s">
        <v>166</v>
      </c>
    </row>
    <row r="7" spans="1:5" ht="38.1" customHeight="1">
      <c r="A7" s="8" t="s">
        <v>119</v>
      </c>
      <c r="B7" s="8" t="s">
        <v>167</v>
      </c>
      <c r="C7" s="8" t="s">
        <v>160</v>
      </c>
      <c r="D7" s="8" t="s">
        <v>168</v>
      </c>
      <c r="E7" s="8" t="s">
        <v>169</v>
      </c>
    </row>
    <row r="8" spans="1:5" ht="38.1" customHeight="1">
      <c r="A8" s="8" t="s">
        <v>13</v>
      </c>
      <c r="B8" s="8" t="s">
        <v>170</v>
      </c>
      <c r="C8" s="8" t="s">
        <v>171</v>
      </c>
      <c r="D8" s="8" t="s">
        <v>172</v>
      </c>
      <c r="E8" s="8" t="s">
        <v>173</v>
      </c>
    </row>
    <row r="9" spans="1:5" ht="38.1" customHeight="1">
      <c r="A9" s="8" t="s">
        <v>15</v>
      </c>
      <c r="B9" s="8" t="s">
        <v>174</v>
      </c>
      <c r="C9" s="8" t="s">
        <v>175</v>
      </c>
      <c r="D9" s="8" t="s">
        <v>176</v>
      </c>
      <c r="E9" s="8" t="s">
        <v>177</v>
      </c>
    </row>
    <row r="10" spans="1:5" ht="38.1" customHeight="1">
      <c r="A10" s="8" t="s">
        <v>17</v>
      </c>
      <c r="B10" s="8" t="s">
        <v>178</v>
      </c>
      <c r="C10" s="8" t="s">
        <v>171</v>
      </c>
      <c r="D10" s="8" t="s">
        <v>179</v>
      </c>
      <c r="E10" s="8" t="s">
        <v>180</v>
      </c>
    </row>
    <row r="11" spans="1:5" ht="38.1" customHeight="1">
      <c r="A11" s="8" t="s">
        <v>19</v>
      </c>
      <c r="B11" s="8" t="s">
        <v>181</v>
      </c>
      <c r="C11" s="8" t="s">
        <v>175</v>
      </c>
      <c r="D11" s="8" t="s">
        <v>182</v>
      </c>
      <c r="E11" s="8" t="s">
        <v>183</v>
      </c>
    </row>
    <row r="12" spans="1:5" ht="38.1" customHeight="1">
      <c r="A12" s="8" t="s">
        <v>21</v>
      </c>
      <c r="B12" s="8" t="s">
        <v>184</v>
      </c>
      <c r="C12" s="8" t="s">
        <v>164</v>
      </c>
      <c r="D12" s="8" t="s">
        <v>185</v>
      </c>
      <c r="E12" s="8" t="s">
        <v>186</v>
      </c>
    </row>
    <row r="13" spans="1:5" ht="38.1" customHeight="1">
      <c r="A13" s="8" t="s">
        <v>23</v>
      </c>
      <c r="B13" s="8" t="s">
        <v>187</v>
      </c>
      <c r="C13" s="8" t="s">
        <v>24</v>
      </c>
      <c r="D13" s="8" t="s">
        <v>188</v>
      </c>
      <c r="E13" s="8" t="s">
        <v>189</v>
      </c>
    </row>
    <row r="14" spans="1:5" ht="38.1" customHeight="1">
      <c r="A14" s="8" t="s">
        <v>190</v>
      </c>
      <c r="B14" s="8" t="s">
        <v>191</v>
      </c>
      <c r="C14" s="8" t="s">
        <v>192</v>
      </c>
      <c r="D14" s="8" t="s">
        <v>193</v>
      </c>
      <c r="E14" s="8" t="s">
        <v>194</v>
      </c>
    </row>
    <row r="15" spans="1:5" ht="38.1" customHeight="1">
      <c r="A15" s="8" t="s">
        <v>195</v>
      </c>
      <c r="B15" s="8" t="s">
        <v>196</v>
      </c>
      <c r="C15" s="8" t="s">
        <v>197</v>
      </c>
      <c r="D15" s="8" t="s">
        <v>198</v>
      </c>
      <c r="E15" s="8" t="s">
        <v>199</v>
      </c>
    </row>
  </sheetData>
  <mergeCells count="2">
    <mergeCell ref="A1:E1"/>
    <mergeCell ref="A2:E2"/>
  </mergeCells>
  <conditionalFormatting sqref="C5:C15">
    <cfRule type="containsText" dxfId="2" priority="1" operator="containsText" text="Không đạt"/>
    <cfRule type="containsText" dxfId="1" priority="2" operator="containsText" text="Đạt"/>
    <cfRule type="containsText" dxfId="0" priority="3" operator="containsText" text="Chờ xác nhận"/>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
  <sheetViews>
    <sheetView showGridLines="0" topLeftCell="A7" workbookViewId="0">
      <selection sqref="A1:I1"/>
    </sheetView>
  </sheetViews>
  <sheetFormatPr defaultRowHeight="14.25"/>
  <cols>
    <col min="1" max="1" width="11" customWidth="1"/>
    <col min="2" max="2" width="20" customWidth="1"/>
    <col min="3" max="3" width="33" customWidth="1"/>
    <col min="4" max="4" width="32" customWidth="1"/>
    <col min="5" max="5" width="39" customWidth="1"/>
    <col min="6" max="6" width="34" customWidth="1"/>
    <col min="7" max="7" width="41" customWidth="1"/>
    <col min="8" max="8" width="16" customWidth="1"/>
    <col min="9" max="9" width="31" customWidth="1"/>
  </cols>
  <sheetData>
    <row r="1" spans="1:9" ht="30" customHeight="1">
      <c r="A1" s="23" t="s">
        <v>200</v>
      </c>
      <c r="B1" s="23" t="s">
        <v>200</v>
      </c>
      <c r="C1" s="23" t="s">
        <v>200</v>
      </c>
      <c r="D1" s="23" t="s">
        <v>200</v>
      </c>
      <c r="E1" s="23" t="s">
        <v>200</v>
      </c>
      <c r="F1" s="23" t="s">
        <v>200</v>
      </c>
      <c r="G1" s="23" t="s">
        <v>200</v>
      </c>
      <c r="H1" s="23" t="s">
        <v>200</v>
      </c>
      <c r="I1" s="23" t="s">
        <v>200</v>
      </c>
    </row>
    <row r="2" spans="1:9" ht="21.95" customHeight="1">
      <c r="A2" s="24" t="s">
        <v>201</v>
      </c>
      <c r="B2" s="24" t="s">
        <v>201</v>
      </c>
      <c r="C2" s="24" t="s">
        <v>201</v>
      </c>
      <c r="D2" s="24" t="s">
        <v>201</v>
      </c>
      <c r="E2" s="24" t="s">
        <v>201</v>
      </c>
      <c r="F2" s="24" t="s">
        <v>201</v>
      </c>
      <c r="G2" s="24" t="s">
        <v>201</v>
      </c>
      <c r="H2" s="24" t="s">
        <v>201</v>
      </c>
      <c r="I2" s="24" t="s">
        <v>201</v>
      </c>
    </row>
    <row r="4" spans="1:9" ht="27.95" customHeight="1">
      <c r="A4" s="17" t="s">
        <v>43</v>
      </c>
      <c r="B4" s="17" t="s">
        <v>202</v>
      </c>
      <c r="C4" s="17" t="s">
        <v>203</v>
      </c>
      <c r="D4" s="17" t="s">
        <v>204</v>
      </c>
      <c r="E4" s="17" t="s">
        <v>205</v>
      </c>
      <c r="F4" s="17" t="s">
        <v>206</v>
      </c>
      <c r="G4" s="17" t="s">
        <v>48</v>
      </c>
      <c r="H4" s="17" t="s">
        <v>49</v>
      </c>
      <c r="I4" s="17" t="s">
        <v>207</v>
      </c>
    </row>
    <row r="5" spans="1:9" ht="63.95" customHeight="1">
      <c r="A5" s="18" t="s">
        <v>51</v>
      </c>
      <c r="B5" s="13" t="s">
        <v>208</v>
      </c>
      <c r="C5" s="13" t="s">
        <v>209</v>
      </c>
      <c r="D5" s="13" t="s">
        <v>210</v>
      </c>
      <c r="E5" s="13" t="s">
        <v>211</v>
      </c>
      <c r="F5" s="13" t="s">
        <v>212</v>
      </c>
      <c r="G5" s="13" t="s">
        <v>213</v>
      </c>
      <c r="H5" s="13" t="s">
        <v>214</v>
      </c>
      <c r="I5" s="13" t="s">
        <v>215</v>
      </c>
    </row>
    <row r="6" spans="1:9" ht="63.95" customHeight="1">
      <c r="A6" s="19" t="s">
        <v>72</v>
      </c>
      <c r="B6" s="14" t="s">
        <v>216</v>
      </c>
      <c r="C6" s="14" t="s">
        <v>217</v>
      </c>
      <c r="D6" s="14" t="s">
        <v>218</v>
      </c>
      <c r="E6" s="14" t="s">
        <v>219</v>
      </c>
      <c r="F6" s="14" t="s">
        <v>220</v>
      </c>
      <c r="G6" s="14" t="s">
        <v>221</v>
      </c>
      <c r="H6" s="14" t="s">
        <v>214</v>
      </c>
      <c r="I6" s="14" t="s">
        <v>222</v>
      </c>
    </row>
    <row r="7" spans="1:9" ht="63.95" customHeight="1">
      <c r="A7" s="19" t="s">
        <v>72</v>
      </c>
      <c r="B7" s="14" t="s">
        <v>223</v>
      </c>
      <c r="C7" s="14" t="s">
        <v>224</v>
      </c>
      <c r="D7" s="14" t="s">
        <v>225</v>
      </c>
      <c r="E7" s="14" t="s">
        <v>226</v>
      </c>
      <c r="F7" s="14" t="s">
        <v>227</v>
      </c>
      <c r="G7" s="14" t="s">
        <v>228</v>
      </c>
      <c r="H7" s="14" t="s">
        <v>214</v>
      </c>
      <c r="I7" s="14" t="s">
        <v>229</v>
      </c>
    </row>
    <row r="8" spans="1:9" ht="63.95" customHeight="1">
      <c r="A8" s="19" t="s">
        <v>72</v>
      </c>
      <c r="B8" s="14" t="s">
        <v>230</v>
      </c>
      <c r="C8" s="14" t="s">
        <v>231</v>
      </c>
      <c r="D8" s="14" t="s">
        <v>232</v>
      </c>
      <c r="E8" s="14" t="s">
        <v>233</v>
      </c>
      <c r="F8" s="14" t="s">
        <v>234</v>
      </c>
      <c r="G8" s="14" t="s">
        <v>235</v>
      </c>
      <c r="H8" s="14" t="s">
        <v>214</v>
      </c>
      <c r="I8" s="14" t="s">
        <v>236</v>
      </c>
    </row>
    <row r="9" spans="1:9" ht="63.95" customHeight="1">
      <c r="A9" s="20" t="s">
        <v>80</v>
      </c>
      <c r="B9" s="15" t="s">
        <v>237</v>
      </c>
      <c r="C9" s="15" t="s">
        <v>238</v>
      </c>
      <c r="D9" s="15" t="s">
        <v>239</v>
      </c>
      <c r="E9" s="15" t="s">
        <v>240</v>
      </c>
      <c r="F9" s="15" t="s">
        <v>241</v>
      </c>
      <c r="G9" s="15" t="s">
        <v>242</v>
      </c>
      <c r="H9" s="15" t="s">
        <v>214</v>
      </c>
      <c r="I9" s="15" t="s">
        <v>243</v>
      </c>
    </row>
    <row r="10" spans="1:9" ht="63.95" customHeight="1">
      <c r="A10" s="20" t="s">
        <v>80</v>
      </c>
      <c r="B10" s="15" t="s">
        <v>244</v>
      </c>
      <c r="C10" s="15" t="s">
        <v>245</v>
      </c>
      <c r="D10" s="15" t="s">
        <v>246</v>
      </c>
      <c r="E10" s="15" t="s">
        <v>247</v>
      </c>
      <c r="F10" s="15" t="s">
        <v>248</v>
      </c>
      <c r="G10" s="15" t="s">
        <v>249</v>
      </c>
      <c r="H10" s="15" t="s">
        <v>214</v>
      </c>
      <c r="I10" s="15" t="s">
        <v>250</v>
      </c>
    </row>
    <row r="11" spans="1:9" ht="63.95" customHeight="1">
      <c r="A11" s="20" t="s">
        <v>80</v>
      </c>
      <c r="B11" s="15" t="s">
        <v>251</v>
      </c>
      <c r="C11" s="15" t="s">
        <v>252</v>
      </c>
      <c r="D11" s="15" t="s">
        <v>253</v>
      </c>
      <c r="E11" s="15" t="s">
        <v>254</v>
      </c>
      <c r="F11" s="15" t="s">
        <v>255</v>
      </c>
      <c r="G11" s="15" t="s">
        <v>256</v>
      </c>
      <c r="H11" s="15" t="s">
        <v>214</v>
      </c>
      <c r="I11" s="15" t="s">
        <v>257</v>
      </c>
    </row>
    <row r="12" spans="1:9" ht="63.95" customHeight="1">
      <c r="A12" s="21" t="s">
        <v>93</v>
      </c>
      <c r="B12" s="16" t="s">
        <v>258</v>
      </c>
      <c r="C12" s="16" t="s">
        <v>259</v>
      </c>
      <c r="D12" s="16" t="s">
        <v>260</v>
      </c>
      <c r="E12" s="16" t="s">
        <v>261</v>
      </c>
      <c r="F12" s="16" t="s">
        <v>262</v>
      </c>
      <c r="G12" s="16" t="s">
        <v>263</v>
      </c>
      <c r="H12" s="16" t="s">
        <v>214</v>
      </c>
      <c r="I12" s="16" t="s">
        <v>264</v>
      </c>
    </row>
    <row r="14" spans="1:9" ht="15.75">
      <c r="A14" s="30" t="s">
        <v>265</v>
      </c>
      <c r="B14" s="30"/>
      <c r="C14" s="30"/>
      <c r="D14" s="30"/>
      <c r="E14" s="30"/>
      <c r="F14" s="30"/>
      <c r="G14" s="30"/>
      <c r="H14" s="30"/>
      <c r="I14" s="30"/>
    </row>
    <row r="15" spans="1:9" ht="27.95" customHeight="1">
      <c r="A15" s="1" t="s">
        <v>266</v>
      </c>
      <c r="B15" s="2" t="s">
        <v>10</v>
      </c>
      <c r="C15" s="40" t="s">
        <v>207</v>
      </c>
      <c r="D15" s="40"/>
      <c r="E15" s="40"/>
      <c r="F15" s="40"/>
      <c r="G15" s="40"/>
      <c r="H15" s="40"/>
      <c r="I15" s="41"/>
    </row>
    <row r="16" spans="1:9" ht="42" customHeight="1">
      <c r="A16" s="22" t="s">
        <v>267</v>
      </c>
      <c r="B16" s="22" t="s">
        <v>160</v>
      </c>
      <c r="C16" s="42" t="s">
        <v>268</v>
      </c>
      <c r="D16" s="42"/>
      <c r="E16" s="42"/>
      <c r="F16" s="42"/>
      <c r="G16" s="42"/>
      <c r="H16" s="42"/>
      <c r="I16" s="42"/>
    </row>
    <row r="17" spans="1:9" ht="42" customHeight="1">
      <c r="A17" s="22" t="s">
        <v>269</v>
      </c>
      <c r="B17" s="22" t="s">
        <v>160</v>
      </c>
      <c r="C17" s="42" t="s">
        <v>270</v>
      </c>
      <c r="D17" s="42"/>
      <c r="E17" s="42"/>
      <c r="F17" s="42"/>
      <c r="G17" s="42"/>
      <c r="H17" s="42"/>
      <c r="I17" s="42"/>
    </row>
  </sheetData>
  <mergeCells count="6">
    <mergeCell ref="C17:I17"/>
    <mergeCell ref="A1:I1"/>
    <mergeCell ref="A2:I2"/>
    <mergeCell ref="A14:I14"/>
    <mergeCell ref="C15:I15"/>
    <mergeCell ref="C16:I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Tổng quan</vt:lpstr>
      <vt:lpstr>Lỗi chi tiết</vt:lpstr>
      <vt:lpstr>Dữ liệu QA</vt:lpstr>
      <vt:lpstr>Phạm vi kiểm thử</vt:lpstr>
      <vt:lpstr>Kiểm thử bảo mật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11 Lebinh</cp:lastModifiedBy>
  <dcterms:modified xsi:type="dcterms:W3CDTF">2026-07-24T04:25:36Z</dcterms:modified>
</cp:coreProperties>
</file>